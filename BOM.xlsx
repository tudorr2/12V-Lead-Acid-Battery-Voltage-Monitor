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udor\Desktop\etti an 2 sem 1\ptcad\PTCAD\1.Proiect_PTCAD_424D_5\"/>
    </mc:Choice>
  </mc:AlternateContent>
  <xr:revisionPtr revIDLastSave="0" documentId="13_ncr:1_{A9E4D7F3-970D-4357-9B59-BD49784CF02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<sst xmlns="http://schemas.openxmlformats.org/spreadsheetml/2006/main" count="78" uniqueCount="71">
  <si>
    <t>Nr</t>
  </si>
  <si>
    <t>Referinta comp. în Scm, nume PCB</t>
  </si>
  <si>
    <t>Tip/Clasa</t>
  </si>
  <si>
    <t>Descriere</t>
  </si>
  <si>
    <t>Cod componenta</t>
  </si>
  <si>
    <t>Producator</t>
  </si>
  <si>
    <t>Cantitate in proiect</t>
  </si>
  <si>
    <t>Cantitate minima la distribuitor</t>
  </si>
  <si>
    <t>Pret/buc (lei)</t>
  </si>
  <si>
    <t>Pret total componente</t>
  </si>
  <si>
    <t>Pret total proiect</t>
  </si>
  <si>
    <t>Site</t>
  </si>
  <si>
    <t>R1</t>
  </si>
  <si>
    <t>4.7KΩ/0.25W</t>
  </si>
  <si>
    <t>CFR1 / 4;0.25W ;4.7KΩ;± 5%;2.5 x 6.8 mm</t>
  </si>
  <si>
    <t>optimusdigital</t>
  </si>
  <si>
    <t>https://www.optimusdigital.ro/ro/componente-electronice-rezistoare/849-rezistor-025w-47k.html?srsltid=AfmBOoqDWx3jaBH8lmwe_ILQo4pzUdn5TRKTn-fDq_XYH0UuiskOhDh7HDA</t>
  </si>
  <si>
    <t>R2</t>
  </si>
  <si>
    <t>1.2KΩ/0.25W</t>
  </si>
  <si>
    <t>T482.1K2;± 5%</t>
  </si>
  <si>
    <t>T482.1K2</t>
  </si>
  <si>
    <t>electronicmarket</t>
  </si>
  <si>
    <t>https://electronicmarket.ro/rezistor-1k2-025-watt</t>
  </si>
  <si>
    <t>CN1</t>
  </si>
  <si>
    <t>2 PIN BERG CONNECTOR</t>
  </si>
  <si>
    <t>Conector şiruri pini</t>
  </si>
  <si>
    <t>ZL201-14G</t>
  </si>
  <si>
    <t>tme</t>
  </si>
  <si>
    <t>https://www.tme.eu/ro/details/zl201-14g/pini-cu-benzi-si-soclu/connfly/ds1021-1-14sf11-b/?brutto=1&amp;currency=RON&amp;utm_source=google&amp;utm_medium=cpc&amp;utm_campaign=RUMUNIA%20%5BPLA%5D%20CSS&amp;gad_source=1&amp;gad_campaignid=10591401989&amp;gbraid=0AAAAADyylhKI8ufPngho7B7dQsJPzeJGd&amp;gclid=CjwKCAiA3L_JBhAlEiwAlcWO5x8j_VgQKRehhLCSxZ3nLhPDrP3-FGwwTjGijeTEHVLjLzN7QkNlrRoClr8QAvD_BwE</t>
  </si>
  <si>
    <t>C1</t>
  </si>
  <si>
    <t>10uF 50V/60V</t>
  </si>
  <si>
    <t>Condensator Electrolitic de 10 uF la 63 V</t>
  </si>
  <si>
    <t>https://www.optimusdigital.ro/ro/componente-electronice-condensatoare/1880-condensator-electrolitic-de-10-uf-la-63-v.html</t>
  </si>
  <si>
    <t>C2</t>
  </si>
  <si>
    <t>0.1 uF</t>
  </si>
  <si>
    <t>Condensator electrolitic 0.1uF 50V</t>
  </si>
  <si>
    <t>T591.EC0.1UF</t>
  </si>
  <si>
    <t>Robokit</t>
  </si>
  <si>
    <t>https://robokit.ro/ro/product/0.1uf-50v-condensator-electrolitic?gad_source=1&amp;gad_campaignid=23014442098&amp;gbraid=0AAAAA-sic2TQjQdYe80a45eEapGzdMLtB&amp;gclid=CjwKCAiA3L_JBhAlEiwAlcWO58V1qiIk2JRPKL_Bz70SPR41FHEc2fcZpxTjsF5PPEoBeReRgFlmFBoCIh4QAvD_BwE</t>
  </si>
  <si>
    <t>D1,D2,D3</t>
  </si>
  <si>
    <t>Standard Yellow LED</t>
  </si>
  <si>
    <t>LED-uri galbene 5 mm cu lentile difuze</t>
  </si>
  <si>
    <t>Plusivo</t>
  </si>
  <si>
    <t>https://www.optimusdigital.ro/ro/kituri-optimus-digital/9517-set-de-led-uri-asortate-de-5-mm-si-3-mm-310-buc-cu-rezistoare-bonus.html</t>
  </si>
  <si>
    <t>D4,D5,D6,D7,D8</t>
  </si>
  <si>
    <t>Standard Green LED</t>
  </si>
  <si>
    <t>LED-uri verzi 5 mm cu lentile difuze</t>
  </si>
  <si>
    <t>https://www.optimusdigital.ro/en/leds/13608-set-of-25-leds-5mm.html</t>
  </si>
  <si>
    <t>D9,D10</t>
  </si>
  <si>
    <t>Standard Red LED</t>
  </si>
  <si>
    <t>LED-uri roșii 5 mm cu lentile difuze</t>
  </si>
  <si>
    <t>U1</t>
  </si>
  <si>
    <t>LM3914</t>
  </si>
  <si>
    <t>LM3914 DIP18 FV</t>
  </si>
  <si>
    <t>K366/L(ID46303216)</t>
  </si>
  <si>
    <t>SuperElektronika</t>
  </si>
  <si>
    <t>https://www.emag.ro/circuit-integrat-driver-led-lm3914-dip18-fv-k366-l/pd/D345NRMBM/?ref=history-shopping_467255663_118427_2</t>
  </si>
  <si>
    <t>SOCKET</t>
  </si>
  <si>
    <t>18 Pin Dip Ic Socket</t>
  </si>
  <si>
    <t>IC DIP18, SE, 2.54 mm</t>
  </si>
  <si>
    <t>K457/DIP18(ID186552688)</t>
  </si>
  <si>
    <t>https://www.emag.ro/soclu-ic-dip18-se-2-54-mm-k457-dip18/pd/DY7GV5MBM/?ref=history-shopping_467255663_118427_1</t>
  </si>
  <si>
    <t>PR1 ,PR2</t>
  </si>
  <si>
    <t>4.7K/5K PRESET</t>
  </si>
  <si>
    <t>Potentiometru Semireglabil 5K</t>
  </si>
  <si>
    <t>https://www.optimusdigital.ro/ro/componente-electronice-potentiometre/11965-potentiometru-semireglabil-5k.html?srsltid=AfmBOorICZ9kCtPYmKyaRWz0ve1ZUUwTFWlsxj0WHTH4BjS-ppMRMp9w</t>
  </si>
  <si>
    <t>J1</t>
  </si>
  <si>
    <t>2 PIN JUMPER WITH CLOSER</t>
  </si>
  <si>
    <t>Pitch: 2.54 mm, 2 Pini</t>
  </si>
  <si>
    <t>https://www.optimusdigital.ro/ro/altele/1522-jumper-de-254-mm-negru-cap-deschis.html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</si>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</sst>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10"/>
      <color rgb="FF000000"/>
      <name val="Roboto"/>
    </font>
    <font>
      <u/>
      <sz val="10"/>
      <color rgb="FF0000FF"/>
      <name val="Roboto"/>
    </font>
    <font>
      <u/>
      <sz val="10"/>
      <color rgb="FF0000FF"/>
      <name val="Roboto"/>
    </font>
  </fonts>
  <fills count="4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0" fontId="1" fillId="3" borderId="0" xfId="0" applyFont="1" applyFill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3">
  <tableColumns count="12">
    <tableColumn id="1" xr3:uid="{00000000-0010-0000-0000-000001000000}" name="Nr"/>
    <tableColumn id="2" xr3:uid="{00000000-0010-0000-0000-000002000000}" name="Referinta comp. în Scm, nume PCB"/>
    <tableColumn id="3" xr3:uid="{00000000-0010-0000-0000-000003000000}" name="Tip/Clasa"/>
    <tableColumn id="4" xr3:uid="{00000000-0010-0000-0000-000004000000}" name="Descriere"/>
    <tableColumn id="5" xr3:uid="{00000000-0010-0000-0000-000005000000}" name="Cod componenta"/>
    <tableColumn id="6" xr3:uid="{00000000-0010-0000-0000-000006000000}" name="Producator"/>
    <tableColumn id="7" xr3:uid="{00000000-0010-0000-0000-000007000000}" name="Cantitate in proiect"/>
    <tableColumn id="8" xr3:uid="{00000000-0010-0000-0000-000008000000}" name="Cantitate minima la distribuitor"/>
    <tableColumn id="9" xr3:uid="{00000000-0010-0000-0000-000009000000}" name="Pret/buc (lei)"/>
    <tableColumn id="10" xr3:uid="{00000000-0010-0000-0000-00000A000000}" name="Pret total componente"/>
    <tableColumn id="11" xr3:uid="{00000000-0010-0000-0000-00000B000000}" name="Pret total proiect"/>
    <tableColumn id="12" xr3:uid="{00000000-0010-0000-0000-00000C000000}" name="Site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mag.ro/circuit-integrat-driver-led-lm3914-dip18-fv-k366-l/pd/D345NRMBM/?ref=history-shopping_467255663_118427_2" TargetMode="External"/><Relationship Id="rId3" Type="http://schemas.openxmlformats.org/officeDocument/2006/relationships/hyperlink" Target="https://www.optimusdigital.ro/ro/componente-electronice-condensatoare/1880-condensator-electrolitic-de-10-uf-la-63-v.html" TargetMode="External"/><Relationship Id="rId7" Type="http://schemas.openxmlformats.org/officeDocument/2006/relationships/hyperlink" Target="https://www.optimusdigital.ro/en/leds/13608-set-of-25-leds-5mm.html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tme.eu/ro/details/zl201-14g/pini-cu-benzi-si-soclu/connfly/ds1021-1-14sf11-b/?brutto=1&amp;currency=RON&amp;utm_source=google&amp;utm_medium=cpc&amp;utm_campaign=RUMUNIA%20%5BPLA%5D%20CSS&amp;gad_source=1&amp;gad_campaignid=10591401989&amp;gbraid=0AAAAADyylhKI8ufPngho7B7dQsJPzeJGd&amp;gclid=CjwKCAiA3L_JBhAlEiwAlcWO5x8j_VgQKRehhLCSxZ3nLhPDrP3-FGwwTjGijeTEHVLjLzN7QkNlrRoClr8QAvD_BwE" TargetMode="External"/><Relationship Id="rId1" Type="http://schemas.openxmlformats.org/officeDocument/2006/relationships/hyperlink" Target="https://electronicmarket.ro/rezistor-1k2-025-watt" TargetMode="External"/><Relationship Id="rId6" Type="http://schemas.openxmlformats.org/officeDocument/2006/relationships/hyperlink" Target="https://www.optimusdigital.ro/en/leds/13608-set-of-25-leds-5mm.html" TargetMode="External"/><Relationship Id="rId11" Type="http://schemas.openxmlformats.org/officeDocument/2006/relationships/hyperlink" Target="https://www.optimusdigital.ro/ro/altele/1522-jumper-de-254-mm-negru-cap-deschis.html" TargetMode="External"/><Relationship Id="rId5" Type="http://schemas.openxmlformats.org/officeDocument/2006/relationships/hyperlink" Target="https://www.optimusdigital.ro/ro/kituri-optimus-digital/9517-set-de-led-uri-asortate-de-5-mm-si-3-mm-310-buc-cu-rezistoare-bonus.html" TargetMode="External"/><Relationship Id="rId10" Type="http://schemas.openxmlformats.org/officeDocument/2006/relationships/hyperlink" Target="https://www.optimusdigital.ro/ro/componente-electronice-potentiometre/11965-potentiometru-semireglabil-5k.html?srsltid=AfmBOorICZ9kCtPYmKyaRWz0ve1ZUUwTFWlsxj0WHTH4BjS-ppMRMp9w" TargetMode="External"/><Relationship Id="rId4" Type="http://schemas.openxmlformats.org/officeDocument/2006/relationships/hyperlink" Target="https://robokit.ro/ro/product/0.1uf-50v-condensator-electrolitic?gad_source=1&amp;gad_campaignid=23014442098&amp;gbraid=0AAAAA-sic2TQjQdYe80a45eEapGzdMLtB&amp;gclid=CjwKCAiA3L_JBhAlEiwAlcWO58V1qiIk2JRPKL_Bz70SPR41FHEc2fcZpxTjsF5PPEoBeReRgFlmFBoCIh4QAvD_BwE" TargetMode="External"/><Relationship Id="rId9" Type="http://schemas.openxmlformats.org/officeDocument/2006/relationships/hyperlink" Target="https://www.emag.ro/soclu-ic-dip18-se-2-54-mm-k457-dip18/pd/DY7GV5MBM/?ref=history-shopping_467255663_118427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15"/>
  <sheetViews>
    <sheetView tabSelected="1" workbookViewId="0">
      <pane ySplit="1" topLeftCell="A2" activePane="bottomLeft" state="frozen"/>
      <selection pane="bottomLeft" activeCell="J17" sqref="J17"/>
    </sheetView>
  </sheetViews>
  <sheetFormatPr defaultColWidth="12.5703125" defaultRowHeight="15.75" customHeight="1" x14ac:dyDescent="0.2"/>
  <cols>
    <col min="1" max="1" width="4.140625" customWidth="1"/>
    <col min="2" max="2" width="31.28515625" customWidth="1"/>
    <col min="3" max="3" width="24.85546875" customWidth="1"/>
    <col min="4" max="4" width="32.85546875" customWidth="1"/>
    <col min="5" max="5" width="22.42578125" customWidth="1"/>
    <col min="6" max="6" width="14.7109375" customWidth="1"/>
    <col min="7" max="7" width="19.42578125" customWidth="1"/>
    <col min="8" max="8" width="28.42578125" customWidth="1"/>
    <col min="9" max="9" width="15.28515625" customWidth="1"/>
    <col min="10" max="10" width="22" customWidth="1"/>
    <col min="11" max="11" width="17.85546875" customWidth="1"/>
    <col min="12" max="12" width="255.7109375" bestFit="1" customWidth="1"/>
  </cols>
  <sheetData>
    <row r="1" spans="1:12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customHeight="1" x14ac:dyDescent="0.2">
      <c r="A2" s="2">
        <v>1</v>
      </c>
      <c r="B2" s="2" t="s">
        <v>12</v>
      </c>
      <c r="C2" s="2" t="s">
        <v>13</v>
      </c>
      <c r="D2" s="2" t="s">
        <v>14</v>
      </c>
      <c r="E2" s="2">
        <v>104210000007381</v>
      </c>
      <c r="F2" s="2" t="s">
        <v>15</v>
      </c>
      <c r="G2" s="2">
        <v>1</v>
      </c>
      <c r="H2" s="2">
        <v>1</v>
      </c>
      <c r="I2" s="2">
        <v>0.1</v>
      </c>
      <c r="J2" s="2">
        <f t="shared" ref="J2:J13" si="0">H2*I2</f>
        <v>0.1</v>
      </c>
      <c r="K2" s="2">
        <f t="shared" ref="K2:K13" si="1">G2*I2</f>
        <v>0.1</v>
      </c>
      <c r="L2" s="3" t="s">
        <v>16</v>
      </c>
    </row>
    <row r="3" spans="1:12" ht="18" customHeight="1" x14ac:dyDescent="0.2">
      <c r="A3" s="2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1</v>
      </c>
      <c r="H3" s="2">
        <v>1</v>
      </c>
      <c r="I3" s="2">
        <v>0.05</v>
      </c>
      <c r="J3" s="2">
        <f t="shared" si="0"/>
        <v>0.05</v>
      </c>
      <c r="K3" s="2">
        <f t="shared" si="1"/>
        <v>0.05</v>
      </c>
      <c r="L3" s="4" t="s">
        <v>22</v>
      </c>
    </row>
    <row r="4" spans="1:12" ht="22.5" customHeight="1" x14ac:dyDescent="0.2">
      <c r="A4" s="2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>
        <v>1</v>
      </c>
      <c r="H4" s="2">
        <v>10</v>
      </c>
      <c r="I4" s="2">
        <v>0.64700000000000002</v>
      </c>
      <c r="J4" s="2">
        <f t="shared" si="0"/>
        <v>6.4700000000000006</v>
      </c>
      <c r="K4" s="2">
        <f t="shared" si="1"/>
        <v>0.64700000000000002</v>
      </c>
      <c r="L4" s="5" t="s">
        <v>28</v>
      </c>
    </row>
    <row r="5" spans="1:12" ht="22.5" customHeight="1" x14ac:dyDescent="0.2">
      <c r="A5" s="2">
        <v>4</v>
      </c>
      <c r="B5" s="2" t="s">
        <v>29</v>
      </c>
      <c r="C5" s="2" t="s">
        <v>30</v>
      </c>
      <c r="D5" s="2" t="s">
        <v>31</v>
      </c>
      <c r="E5" s="2">
        <v>104210000018349</v>
      </c>
      <c r="F5" s="2" t="s">
        <v>15</v>
      </c>
      <c r="G5" s="2">
        <v>1</v>
      </c>
      <c r="H5" s="2">
        <v>1</v>
      </c>
      <c r="I5" s="2">
        <v>0.28999999999999998</v>
      </c>
      <c r="J5" s="2">
        <f t="shared" si="0"/>
        <v>0.28999999999999998</v>
      </c>
      <c r="K5" s="2">
        <f t="shared" si="1"/>
        <v>0.28999999999999998</v>
      </c>
      <c r="L5" s="6" t="s">
        <v>32</v>
      </c>
    </row>
    <row r="6" spans="1:12" ht="22.5" customHeight="1" x14ac:dyDescent="0.2">
      <c r="A6" s="2">
        <v>5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>
        <v>1</v>
      </c>
      <c r="H6" s="2">
        <v>1</v>
      </c>
      <c r="I6" s="2">
        <v>0.64</v>
      </c>
      <c r="J6" s="2">
        <f t="shared" si="0"/>
        <v>0.64</v>
      </c>
      <c r="K6" s="2">
        <f t="shared" si="1"/>
        <v>0.64</v>
      </c>
      <c r="L6" s="6" t="s">
        <v>38</v>
      </c>
    </row>
    <row r="7" spans="1:12" ht="22.5" customHeight="1" x14ac:dyDescent="0.2">
      <c r="A7" s="2">
        <v>6</v>
      </c>
      <c r="B7" s="2" t="s">
        <v>39</v>
      </c>
      <c r="C7" s="2" t="s">
        <v>40</v>
      </c>
      <c r="D7" s="2" t="s">
        <v>41</v>
      </c>
      <c r="E7" s="2">
        <v>104110000045102</v>
      </c>
      <c r="F7" s="2" t="s">
        <v>42</v>
      </c>
      <c r="G7" s="2">
        <v>3</v>
      </c>
      <c r="H7" s="2">
        <v>20</v>
      </c>
      <c r="I7" s="2">
        <v>8.8999999999999996E-2</v>
      </c>
      <c r="J7" s="2">
        <f t="shared" si="0"/>
        <v>1.7799999999999998</v>
      </c>
      <c r="K7" s="2">
        <f t="shared" si="1"/>
        <v>0.26700000000000002</v>
      </c>
      <c r="L7" s="4" t="s">
        <v>43</v>
      </c>
    </row>
    <row r="8" spans="1:12" ht="22.5" customHeight="1" x14ac:dyDescent="0.2">
      <c r="A8" s="2">
        <v>7</v>
      </c>
      <c r="B8" s="2" t="s">
        <v>44</v>
      </c>
      <c r="C8" s="2" t="s">
        <v>45</v>
      </c>
      <c r="D8" s="2" t="s">
        <v>46</v>
      </c>
      <c r="E8" s="2">
        <v>104110000045102</v>
      </c>
      <c r="F8" s="2" t="s">
        <v>42</v>
      </c>
      <c r="G8" s="2">
        <v>5</v>
      </c>
      <c r="H8" s="2">
        <v>20</v>
      </c>
      <c r="I8" s="2">
        <v>8.8999999999999996E-2</v>
      </c>
      <c r="J8" s="2">
        <f t="shared" si="0"/>
        <v>1.7799999999999998</v>
      </c>
      <c r="K8" s="2">
        <f t="shared" si="1"/>
        <v>0.44499999999999995</v>
      </c>
      <c r="L8" s="6" t="s">
        <v>47</v>
      </c>
    </row>
    <row r="9" spans="1:12" ht="22.5" customHeight="1" x14ac:dyDescent="0.2">
      <c r="A9" s="2">
        <v>8</v>
      </c>
      <c r="B9" s="2" t="s">
        <v>48</v>
      </c>
      <c r="C9" s="2" t="s">
        <v>49</v>
      </c>
      <c r="D9" s="2" t="s">
        <v>50</v>
      </c>
      <c r="E9" s="2">
        <v>104110000045102</v>
      </c>
      <c r="F9" s="2" t="s">
        <v>42</v>
      </c>
      <c r="G9" s="2">
        <v>2</v>
      </c>
      <c r="H9" s="2">
        <v>20</v>
      </c>
      <c r="I9" s="2">
        <v>8.8999999999999996E-2</v>
      </c>
      <c r="J9" s="2">
        <f t="shared" si="0"/>
        <v>1.7799999999999998</v>
      </c>
      <c r="K9" s="2">
        <f t="shared" si="1"/>
        <v>0.17799999999999999</v>
      </c>
      <c r="L9" s="6" t="s">
        <v>47</v>
      </c>
    </row>
    <row r="10" spans="1:12" ht="22.5" customHeight="1" x14ac:dyDescent="0.2">
      <c r="A10" s="2">
        <v>9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>
        <v>1</v>
      </c>
      <c r="H10" s="2">
        <v>1</v>
      </c>
      <c r="I10" s="2">
        <v>17.93</v>
      </c>
      <c r="J10" s="2">
        <f t="shared" si="0"/>
        <v>17.93</v>
      </c>
      <c r="K10" s="2">
        <f t="shared" si="1"/>
        <v>17.93</v>
      </c>
      <c r="L10" s="6" t="s">
        <v>56</v>
      </c>
    </row>
    <row r="11" spans="1:12" ht="22.5" customHeight="1" x14ac:dyDescent="0.2">
      <c r="A11" s="2">
        <v>10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55</v>
      </c>
      <c r="G11" s="2">
        <v>1</v>
      </c>
      <c r="H11" s="2">
        <v>1</v>
      </c>
      <c r="I11" s="2">
        <v>16.559999999999999</v>
      </c>
      <c r="J11" s="2">
        <f t="shared" si="0"/>
        <v>16.559999999999999</v>
      </c>
      <c r="K11" s="2">
        <f t="shared" si="1"/>
        <v>16.559999999999999</v>
      </c>
      <c r="L11" s="4" t="s">
        <v>61</v>
      </c>
    </row>
    <row r="12" spans="1:12" ht="22.5" customHeight="1" x14ac:dyDescent="0.2">
      <c r="A12" s="2">
        <v>11</v>
      </c>
      <c r="B12" s="2" t="s">
        <v>62</v>
      </c>
      <c r="C12" s="2" t="s">
        <v>63</v>
      </c>
      <c r="D12" s="2" t="s">
        <v>64</v>
      </c>
      <c r="E12" s="2">
        <v>104110000077820</v>
      </c>
      <c r="F12" s="2" t="s">
        <v>15</v>
      </c>
      <c r="G12" s="2">
        <v>2</v>
      </c>
      <c r="H12" s="2">
        <v>1</v>
      </c>
      <c r="I12" s="2">
        <v>0.99</v>
      </c>
      <c r="J12" s="2">
        <f t="shared" si="0"/>
        <v>0.99</v>
      </c>
      <c r="K12" s="2">
        <f t="shared" si="1"/>
        <v>1.98</v>
      </c>
      <c r="L12" s="7" t="s">
        <v>65</v>
      </c>
    </row>
    <row r="13" spans="1:12" ht="22.5" customHeight="1" x14ac:dyDescent="0.2">
      <c r="A13" s="2">
        <v>12</v>
      </c>
      <c r="B13" s="2" t="s">
        <v>66</v>
      </c>
      <c r="C13" s="2" t="s">
        <v>67</v>
      </c>
      <c r="D13" s="2" t="s">
        <v>68</v>
      </c>
      <c r="E13" s="2">
        <v>104210000013498</v>
      </c>
      <c r="F13" s="2" t="s">
        <v>15</v>
      </c>
      <c r="G13" s="2">
        <v>1</v>
      </c>
      <c r="H13" s="2">
        <v>1</v>
      </c>
      <c r="I13" s="2">
        <v>0.18</v>
      </c>
      <c r="J13" s="2">
        <f t="shared" si="0"/>
        <v>0.18</v>
      </c>
      <c r="K13" s="2">
        <f t="shared" si="1"/>
        <v>0.18</v>
      </c>
      <c r="L13" s="6" t="s">
        <v>69</v>
      </c>
    </row>
    <row r="15" spans="1:12" ht="12.75" x14ac:dyDescent="0.2">
      <c r="J15" s="8" t="s">
        <v>70</v>
      </c>
      <c r="K15" s="8">
        <f>SUM(K2:K13)</f>
        <v>39.266999999999996</v>
      </c>
    </row>
  </sheetData>
  <dataValidations count="1">
    <dataValidation allowBlank="1" showDropDown="1" sqref="L2:L13" xr:uid="{00000000-0002-0000-0000-000000000000}"/>
  </dataValidations>
  <hyperlinks>
    <hyperlink ref="L3" r:id="rId1" xr:uid="{00000000-0004-0000-0000-000000000000}"/>
    <hyperlink ref="L4" r:id="rId2" xr:uid="{00000000-0004-0000-0000-000001000000}"/>
    <hyperlink ref="L5" r:id="rId3" xr:uid="{00000000-0004-0000-0000-000002000000}"/>
    <hyperlink ref="L6" r:id="rId4" xr:uid="{00000000-0004-0000-0000-000003000000}"/>
    <hyperlink ref="L7" r:id="rId5" xr:uid="{00000000-0004-0000-0000-000004000000}"/>
    <hyperlink ref="L8" r:id="rId6" xr:uid="{00000000-0004-0000-0000-000005000000}"/>
    <hyperlink ref="L9" r:id="rId7" xr:uid="{00000000-0004-0000-0000-000006000000}"/>
    <hyperlink ref="L10" r:id="rId8" xr:uid="{00000000-0004-0000-0000-000007000000}"/>
    <hyperlink ref="L11" r:id="rId9" xr:uid="{00000000-0004-0000-0000-000008000000}"/>
    <hyperlink ref="L12" r:id="rId10" xr:uid="{00000000-0004-0000-0000-000009000000}"/>
    <hyperlink ref="L13" r:id="rId11" xr:uid="{00000000-0004-0000-0000-00000A000000}"/>
  </hyperlinks>
  <printOptions horizontalCentered="1" gridLines="1"/>
  <pageMargins left="0.25" right="0.25" top="0.75" bottom="0.75" header="0" footer="0"/>
  <pageSetup paperSize="9" fitToHeight="0" pageOrder="overThenDown" orientation="landscape" cellComments="atEnd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Tudor NEAGU (147795)</cp:lastModifiedBy>
  <dcterms:modified xsi:type="dcterms:W3CDTF">2026-01-28T15:39:44Z</dcterms:modified>
</cp:coreProperties>
</file>